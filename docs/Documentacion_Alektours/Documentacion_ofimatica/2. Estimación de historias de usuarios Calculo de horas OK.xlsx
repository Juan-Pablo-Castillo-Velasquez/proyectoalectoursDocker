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NA\Downloads\Documentación AleckTours-20260629T150350Z-3-001\Documentación AleckTours\"/>
    </mc:Choice>
  </mc:AlternateContent>
  <xr:revisionPtr revIDLastSave="0" documentId="13_ncr:1_{59EC27C8-476F-4FAC-8282-2ADD19D4E9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4gze0oorwe1bIwhXQjrznEK7CTUAwjp0g1ZfoQNc5A="/>
    </ext>
  </extLst>
</workbook>
</file>

<file path=xl/calcChain.xml><?xml version="1.0" encoding="utf-8"?>
<calcChain xmlns="http://schemas.openxmlformats.org/spreadsheetml/2006/main">
  <c r="H61" i="1" l="1"/>
  <c r="G61" i="1"/>
  <c r="E59" i="1"/>
  <c r="D59" i="1"/>
  <c r="P52" i="1"/>
  <c r="O52" i="1"/>
  <c r="M50" i="1"/>
  <c r="L50" i="1"/>
  <c r="H52" i="1"/>
  <c r="G52" i="1"/>
  <c r="E50" i="1"/>
  <c r="D50" i="1"/>
  <c r="P39" i="1"/>
  <c r="O39" i="1"/>
  <c r="H39" i="1"/>
  <c r="G39" i="1"/>
  <c r="M37" i="1"/>
  <c r="L37" i="1"/>
  <c r="E37" i="1"/>
  <c r="D37" i="1"/>
  <c r="P30" i="1"/>
  <c r="O30" i="1"/>
  <c r="H30" i="1"/>
  <c r="G30" i="1"/>
  <c r="M28" i="1"/>
  <c r="L28" i="1"/>
  <c r="E28" i="1"/>
  <c r="D28" i="1"/>
  <c r="P22" i="1"/>
  <c r="O22" i="1"/>
  <c r="H22" i="1"/>
  <c r="G22" i="1"/>
  <c r="M20" i="1"/>
  <c r="L20" i="1"/>
  <c r="E20" i="1"/>
  <c r="D20" i="1"/>
  <c r="P14" i="1"/>
  <c r="O14" i="1"/>
  <c r="H14" i="1"/>
  <c r="G14" i="1"/>
  <c r="M12" i="1"/>
  <c r="L12" i="1"/>
  <c r="E12" i="1"/>
  <c r="D12" i="1"/>
  <c r="P6" i="1"/>
  <c r="O6" i="1"/>
  <c r="H6" i="1"/>
  <c r="G6" i="1"/>
  <c r="M4" i="1"/>
  <c r="L4" i="1"/>
  <c r="E4" i="1"/>
  <c r="D4" i="1"/>
</calcChain>
</file>

<file path=xl/sharedStrings.xml><?xml version="1.0" encoding="utf-8"?>
<sst xmlns="http://schemas.openxmlformats.org/spreadsheetml/2006/main" count="186" uniqueCount="91">
  <si>
    <t>SPRINT 1</t>
  </si>
  <si>
    <t>SPRINT 6</t>
  </si>
  <si>
    <t>CREACIÓN DE ITINERARIOS</t>
  </si>
  <si>
    <t>Semanas destinadas</t>
  </si>
  <si>
    <t>HISTORIA DE USUARIO</t>
  </si>
  <si>
    <t>PUNTAJE</t>
  </si>
  <si>
    <t>INTEGRANTES</t>
  </si>
  <si>
    <t>DÍAS DEDICADOS</t>
  </si>
  <si>
    <t>HORAS POR DÍA</t>
  </si>
  <si>
    <t>CAPACIDAD TOTAL (HORAS)</t>
  </si>
  <si>
    <t>VELOCIDAD ESTIMADA</t>
  </si>
  <si>
    <t>H1 Registro de clientes</t>
  </si>
  <si>
    <t>H1 Creación de itinerarios</t>
  </si>
  <si>
    <t>H2 Inicio de sesión</t>
  </si>
  <si>
    <t>H2 Organización por días</t>
  </si>
  <si>
    <t>H3 Recuperación de clave</t>
  </si>
  <si>
    <t>H3 Modificación y reorganización</t>
  </si>
  <si>
    <t>H4 Eliminación de cuenta</t>
  </si>
  <si>
    <t>H4 Inclusión de servicios</t>
  </si>
  <si>
    <t>SPRINT 2</t>
  </si>
  <si>
    <t>SPRINT 7</t>
  </si>
  <si>
    <t>INTEGRACIÓN DE PROVEEDORES</t>
  </si>
  <si>
    <t>HORAS DEL DÍA</t>
  </si>
  <si>
    <t>H1 Diseño de cuestionario de preferencias</t>
  </si>
  <si>
    <t>H1 Consumo de APIs Vuelos</t>
  </si>
  <si>
    <t>H2 Creación del modulo perfil viajero</t>
  </si>
  <si>
    <t>H2 Consumo de APIs hoteleras</t>
  </si>
  <si>
    <t>H3 Almacenamiento de intereses</t>
  </si>
  <si>
    <t>H3 Integración con proveedores de Tours</t>
  </si>
  <si>
    <t>H4 Edición de preferencias</t>
  </si>
  <si>
    <t>H4 Sincronización de disponibilidad</t>
  </si>
  <si>
    <t>SPRINT 3</t>
  </si>
  <si>
    <t xml:space="preserve">CRM clientes (Customer Relationship Management) o (Gestión de relaciones con el cliente).
</t>
  </si>
  <si>
    <t>SPRINT 8</t>
  </si>
  <si>
    <t>COTIZACIONES AUTOMATICAS</t>
  </si>
  <si>
    <t>H1 Visualización de perfiles por agentes</t>
  </si>
  <si>
    <t>H1 Calculo automatico de costos</t>
  </si>
  <si>
    <t>H2 Edicción de preferencias por parte de asesor</t>
  </si>
  <si>
    <t>H2 Generación de cotizaciones</t>
  </si>
  <si>
    <t>H3 Historial de interacciones</t>
  </si>
  <si>
    <t>H3 Desglose de servivios</t>
  </si>
  <si>
    <t>H4 Registro de observaciones comerciales</t>
  </si>
  <si>
    <t>H4 Exportación de documentos</t>
  </si>
  <si>
    <t>SPRINT 4</t>
  </si>
  <si>
    <t>GESTIÓN DE RESERVAS</t>
  </si>
  <si>
    <t>SPRINT 9</t>
  </si>
  <si>
    <t>PORTAL DE CLIENTES</t>
  </si>
  <si>
    <t>H1 Creación de entidad reservas en BD</t>
  </si>
  <si>
    <t>H1 Portal web para clientes</t>
  </si>
  <si>
    <t>H2 Consultas de reservas</t>
  </si>
  <si>
    <t>H2 Visualización de cotizaciones</t>
  </si>
  <si>
    <t>H3 Cancelación de reservas.</t>
  </si>
  <si>
    <t>H3 Cometarios sobre propuestas</t>
  </si>
  <si>
    <t>H4 Gestión de estados de reservas</t>
  </si>
  <si>
    <t>H4 Aprobación o rechazo de de cotizaciones</t>
  </si>
  <si>
    <t>H5 Notificación de cambios</t>
  </si>
  <si>
    <t>H5 Historial de cotizaciones</t>
  </si>
  <si>
    <t>SPRINT 5</t>
  </si>
  <si>
    <t>CATALOGOS TURÍSTICOS</t>
  </si>
  <si>
    <t>SPRINT 10</t>
  </si>
  <si>
    <t>H1 Catálogo de vuelos</t>
  </si>
  <si>
    <t>H1 Reserva automatica con proveedores</t>
  </si>
  <si>
    <t>H2 Catalogo de alojamientos</t>
  </si>
  <si>
    <t>H2 Confrimación de disponibilidad</t>
  </si>
  <si>
    <t>H3 Catalogo de tours y actividades</t>
  </si>
  <si>
    <t>H3 Integración con pasarela de pagos</t>
  </si>
  <si>
    <t>H4 Catalogo de trasportes</t>
  </si>
  <si>
    <t>H4 Gestión de comprobantes</t>
  </si>
  <si>
    <t>H5 Filtros avanzados de bsuqueda</t>
  </si>
  <si>
    <t>H5 Notificación automatica de pagos</t>
  </si>
  <si>
    <t>H4 Confirmación de reservas</t>
  </si>
  <si>
    <t>GESTIÓN DE USUARIOS</t>
  </si>
  <si>
    <t>GESTIÓN DE PREFERENCIAS</t>
  </si>
  <si>
    <t>SPRINT 11</t>
  </si>
  <si>
    <t>GESTIÓN DE DESTINOS</t>
  </si>
  <si>
    <t>H1 Registrar destino</t>
  </si>
  <si>
    <t>H2 Consultar destinos</t>
  </si>
  <si>
    <t>H3 Actualizar destino</t>
  </si>
  <si>
    <t>H4 Eliminar destino</t>
  </si>
  <si>
    <t>SPRINT 12</t>
  </si>
  <si>
    <t>GESTIÓN DE COMENTARIOS</t>
  </si>
  <si>
    <t>H1 Registrar comentario</t>
  </si>
  <si>
    <t>H2 Consultar comentarios</t>
  </si>
  <si>
    <t>H3 Actualizar comentario</t>
  </si>
  <si>
    <t>H4 Eliminar comentario</t>
  </si>
  <si>
    <t>GESTIÓN DE PAGOS</t>
  </si>
  <si>
    <t>SPRINT 13</t>
  </si>
  <si>
    <t>GESTION DE REPORTES</t>
  </si>
  <si>
    <t>H1 Generar reporte</t>
  </si>
  <si>
    <t>H2 Consultar reporte</t>
  </si>
  <si>
    <t>ESTIMACIÓN DE HISTORIAS DE USUARIOS - ALEKTOURS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</si>
</sst>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b/>
      <sz val="13"/>
      <color rgb="FFFFFFFF"/>
      <name val="Aptos"/>
    </font>
    <font>
      <sz val="11"/>
      <name val="Calibri"/>
    </font>
    <font>
      <b/>
      <sz val="13"/>
      <color rgb="FFFFFFFF"/>
      <name val="Arial"/>
    </font>
    <font>
      <b/>
      <sz val="13"/>
      <color rgb="FFFFFFFF"/>
      <name val="Calibri"/>
    </font>
    <font>
      <sz val="14"/>
      <color theme="1"/>
      <name val="Calibri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13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6FA8DC"/>
        <bgColor rgb="FF6FA8DC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8" xfId="0" applyBorder="1"/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9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5" fillId="3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1" fillId="2" borderId="28" xfId="0" applyFont="1" applyFill="1" applyBorder="1"/>
    <xf numFmtId="0" fontId="9" fillId="3" borderId="2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20" xfId="0" applyFont="1" applyBorder="1"/>
    <xf numFmtId="0" fontId="6" fillId="0" borderId="30" xfId="0" applyFont="1" applyBorder="1" applyAlignment="1">
      <alignment horizontal="center" vertical="center"/>
    </xf>
    <xf numFmtId="0" fontId="3" fillId="0" borderId="31" xfId="0" applyFont="1" applyBorder="1"/>
    <xf numFmtId="0" fontId="3" fillId="0" borderId="33" xfId="0" applyFont="1" applyBorder="1"/>
    <xf numFmtId="0" fontId="1" fillId="2" borderId="23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1" xfId="0" applyFont="1" applyBorder="1"/>
    <xf numFmtId="0" fontId="1" fillId="2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7" xfId="0" applyFont="1" applyBorder="1"/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4" fillId="2" borderId="23" xfId="0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24" xfId="0" applyFont="1" applyBorder="1"/>
    <xf numFmtId="0" fontId="3" fillId="0" borderId="25" xfId="0" applyFont="1" applyBorder="1"/>
    <xf numFmtId="0" fontId="1" fillId="2" borderId="2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2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27"/>
  <sheetViews>
    <sheetView tabSelected="1" topLeftCell="A44" zoomScale="55" zoomScaleNormal="55" workbookViewId="0">
      <selection activeCell="J60" sqref="J60"/>
    </sheetView>
  </sheetViews>
  <sheetFormatPr baseColWidth="10" defaultColWidth="14.42578125" defaultRowHeight="15" customHeight="1" x14ac:dyDescent="0.25"/>
  <cols>
    <col min="1" max="1" width="4.28515625" customWidth="1"/>
    <col min="2" max="2" width="53.28515625" customWidth="1"/>
    <col min="3" max="3" width="11.42578125" customWidth="1"/>
    <col min="4" max="4" width="17.28515625" customWidth="1"/>
    <col min="5" max="5" width="18" customWidth="1"/>
    <col min="6" max="6" width="19" customWidth="1"/>
    <col min="7" max="7" width="23.85546875" customWidth="1"/>
    <col min="8" max="8" width="15" customWidth="1"/>
    <col min="9" max="9" width="6.140625" customWidth="1"/>
    <col min="10" max="10" width="52.5703125" customWidth="1"/>
    <col min="11" max="16" width="18.85546875" customWidth="1"/>
    <col min="17" max="25" width="10.7109375" customWidth="1"/>
  </cols>
  <sheetData>
    <row r="1" spans="2:16" ht="29.25" customHeight="1" x14ac:dyDescent="0.5">
      <c r="G1" s="69" t="s">
        <v>90</v>
      </c>
      <c r="H1" s="70"/>
      <c r="I1" s="70"/>
      <c r="J1" s="70"/>
      <c r="K1" s="70"/>
    </row>
    <row r="2" spans="2:16" ht="15" customHeight="1" thickBot="1" x14ac:dyDescent="0.3"/>
    <row r="3" spans="2:16" s="15" customFormat="1" ht="40.5" customHeight="1" x14ac:dyDescent="0.25">
      <c r="B3" s="18" t="s">
        <v>0</v>
      </c>
      <c r="C3" s="71" t="s">
        <v>71</v>
      </c>
      <c r="D3" s="54"/>
      <c r="E3" s="54"/>
      <c r="F3" s="54"/>
      <c r="G3" s="54"/>
      <c r="H3" s="55"/>
      <c r="J3" s="18" t="s">
        <v>1</v>
      </c>
      <c r="K3" s="64" t="s">
        <v>2</v>
      </c>
      <c r="L3" s="54"/>
      <c r="M3" s="54"/>
      <c r="N3" s="54"/>
      <c r="O3" s="54"/>
      <c r="P3" s="55"/>
    </row>
    <row r="4" spans="2:16" ht="18.75" x14ac:dyDescent="0.3">
      <c r="B4" s="30" t="s">
        <v>3</v>
      </c>
      <c r="C4" s="1">
        <v>4</v>
      </c>
      <c r="D4" s="2" t="str">
        <f>IF(C4&gt;4,"No viable","Viable")</f>
        <v>Viable</v>
      </c>
      <c r="E4" s="60" t="str">
        <f>CONCATENATE("Las semanas destinadas son: "&amp; C4)</f>
        <v>Las semanas destinadas son: 4</v>
      </c>
      <c r="F4" s="61"/>
      <c r="G4" s="61"/>
      <c r="H4" s="65"/>
      <c r="J4" s="30" t="s">
        <v>3</v>
      </c>
      <c r="K4" s="1">
        <v>3</v>
      </c>
      <c r="L4" s="2" t="str">
        <f>IF(K4&gt;4,"No viable","Viable")</f>
        <v>Viable</v>
      </c>
      <c r="M4" s="60" t="str">
        <f>CONCATENATE("Las semanas destinadas son: "&amp; K4)</f>
        <v>Las semanas destinadas son: 3</v>
      </c>
      <c r="N4" s="61"/>
      <c r="O4" s="61"/>
      <c r="P4" s="65"/>
    </row>
    <row r="5" spans="2:16" ht="34.5" x14ac:dyDescent="0.25">
      <c r="B5" s="27" t="s">
        <v>4</v>
      </c>
      <c r="C5" s="3" t="s">
        <v>5</v>
      </c>
      <c r="D5" s="3" t="s">
        <v>6</v>
      </c>
      <c r="E5" s="4" t="s">
        <v>7</v>
      </c>
      <c r="F5" s="3" t="s">
        <v>8</v>
      </c>
      <c r="G5" s="4" t="s">
        <v>9</v>
      </c>
      <c r="H5" s="21" t="s">
        <v>10</v>
      </c>
      <c r="J5" s="27" t="s">
        <v>4</v>
      </c>
      <c r="K5" s="3" t="s">
        <v>5</v>
      </c>
      <c r="L5" s="3" t="s">
        <v>6</v>
      </c>
      <c r="M5" s="4" t="s">
        <v>7</v>
      </c>
      <c r="N5" s="3" t="s">
        <v>8</v>
      </c>
      <c r="O5" s="4" t="s">
        <v>9</v>
      </c>
      <c r="P5" s="21" t="s">
        <v>10</v>
      </c>
    </row>
    <row r="6" spans="2:16" ht="33" customHeight="1" x14ac:dyDescent="0.25">
      <c r="B6" s="28" t="s">
        <v>11</v>
      </c>
      <c r="C6" s="6">
        <v>5</v>
      </c>
      <c r="D6" s="32">
        <v>1</v>
      </c>
      <c r="E6" s="32">
        <v>15</v>
      </c>
      <c r="F6" s="32">
        <v>6</v>
      </c>
      <c r="G6" s="32">
        <f>D6*E6*F6</f>
        <v>90</v>
      </c>
      <c r="H6" s="35">
        <f>SUM(C6:C9)</f>
        <v>15</v>
      </c>
      <c r="J6" s="28" t="s">
        <v>12</v>
      </c>
      <c r="K6" s="6">
        <v>5</v>
      </c>
      <c r="L6" s="32">
        <v>1</v>
      </c>
      <c r="M6" s="32">
        <v>12</v>
      </c>
      <c r="N6" s="32">
        <v>6</v>
      </c>
      <c r="O6" s="32">
        <f>L6*M6*N6</f>
        <v>72</v>
      </c>
      <c r="P6" s="35">
        <f>SUM(K6:K9)</f>
        <v>17</v>
      </c>
    </row>
    <row r="7" spans="2:16" ht="33" customHeight="1" x14ac:dyDescent="0.25">
      <c r="B7" s="28" t="s">
        <v>13</v>
      </c>
      <c r="C7" s="6">
        <v>3</v>
      </c>
      <c r="D7" s="33"/>
      <c r="E7" s="33"/>
      <c r="F7" s="33"/>
      <c r="G7" s="33"/>
      <c r="H7" s="36"/>
      <c r="J7" s="28" t="s">
        <v>14</v>
      </c>
      <c r="K7" s="6">
        <v>3</v>
      </c>
      <c r="L7" s="33"/>
      <c r="M7" s="33"/>
      <c r="N7" s="33"/>
      <c r="O7" s="33"/>
      <c r="P7" s="36"/>
    </row>
    <row r="8" spans="2:16" ht="33" customHeight="1" x14ac:dyDescent="0.25">
      <c r="B8" s="28" t="s">
        <v>15</v>
      </c>
      <c r="C8" s="6">
        <v>5</v>
      </c>
      <c r="D8" s="33"/>
      <c r="E8" s="33"/>
      <c r="F8" s="33"/>
      <c r="G8" s="33"/>
      <c r="H8" s="36"/>
      <c r="J8" s="28" t="s">
        <v>16</v>
      </c>
      <c r="K8" s="6">
        <v>5</v>
      </c>
      <c r="L8" s="33"/>
      <c r="M8" s="33"/>
      <c r="N8" s="33"/>
      <c r="O8" s="33"/>
      <c r="P8" s="36"/>
    </row>
    <row r="9" spans="2:16" ht="33" customHeight="1" thickBot="1" x14ac:dyDescent="0.3">
      <c r="B9" s="29" t="s">
        <v>17</v>
      </c>
      <c r="C9" s="17">
        <v>2</v>
      </c>
      <c r="D9" s="34"/>
      <c r="E9" s="34"/>
      <c r="F9" s="34"/>
      <c r="G9" s="34"/>
      <c r="H9" s="37"/>
      <c r="J9" s="29" t="s">
        <v>18</v>
      </c>
      <c r="K9" s="17">
        <v>4</v>
      </c>
      <c r="L9" s="34"/>
      <c r="M9" s="34"/>
      <c r="N9" s="34"/>
      <c r="O9" s="34"/>
      <c r="P9" s="37"/>
    </row>
    <row r="10" spans="2:16" ht="28.5" customHeight="1" thickBot="1" x14ac:dyDescent="0.3"/>
    <row r="11" spans="2:16" s="15" customFormat="1" ht="33.75" customHeight="1" x14ac:dyDescent="0.25">
      <c r="B11" s="18" t="s">
        <v>19</v>
      </c>
      <c r="C11" s="53" t="s">
        <v>72</v>
      </c>
      <c r="D11" s="54"/>
      <c r="E11" s="54"/>
      <c r="F11" s="54"/>
      <c r="G11" s="54"/>
      <c r="H11" s="55"/>
      <c r="J11" s="18" t="s">
        <v>20</v>
      </c>
      <c r="K11" s="64" t="s">
        <v>21</v>
      </c>
      <c r="L11" s="54"/>
      <c r="M11" s="54"/>
      <c r="N11" s="54"/>
      <c r="O11" s="54"/>
      <c r="P11" s="55"/>
    </row>
    <row r="12" spans="2:16" ht="20.25" customHeight="1" x14ac:dyDescent="0.3">
      <c r="B12" s="19" t="s">
        <v>3</v>
      </c>
      <c r="C12" s="1">
        <v>3</v>
      </c>
      <c r="D12" s="9" t="str">
        <f>IF(C12&gt;4,"No viable","Viable")</f>
        <v>Viable</v>
      </c>
      <c r="E12" s="47" t="str">
        <f>CONCATENATE("Las semanas destinadas son: "&amp; C12)</f>
        <v>Las semanas destinadas son: 3</v>
      </c>
      <c r="F12" s="48"/>
      <c r="G12" s="48"/>
      <c r="H12" s="56"/>
      <c r="J12" s="30" t="s">
        <v>3</v>
      </c>
      <c r="K12" s="1">
        <v>4</v>
      </c>
      <c r="L12" s="2" t="str">
        <f>IF(K12&gt;4,"No viable","Viable")</f>
        <v>Viable</v>
      </c>
      <c r="M12" s="60" t="str">
        <f>CONCATENATE("Las semanas destinadas son: "&amp; K12)</f>
        <v>Las semanas destinadas son: 4</v>
      </c>
      <c r="N12" s="61"/>
      <c r="O12" s="61"/>
      <c r="P12" s="65"/>
    </row>
    <row r="13" spans="2:16" ht="36" customHeight="1" x14ac:dyDescent="0.25">
      <c r="B13" s="20" t="s">
        <v>4</v>
      </c>
      <c r="C13" s="4" t="s">
        <v>5</v>
      </c>
      <c r="D13" s="4" t="s">
        <v>6</v>
      </c>
      <c r="E13" s="4" t="s">
        <v>7</v>
      </c>
      <c r="F13" s="4" t="s">
        <v>22</v>
      </c>
      <c r="G13" s="4" t="s">
        <v>9</v>
      </c>
      <c r="H13" s="21" t="s">
        <v>10</v>
      </c>
      <c r="J13" s="27" t="s">
        <v>4</v>
      </c>
      <c r="K13" s="3" t="s">
        <v>5</v>
      </c>
      <c r="L13" s="3" t="s">
        <v>6</v>
      </c>
      <c r="M13" s="4" t="s">
        <v>7</v>
      </c>
      <c r="N13" s="3" t="s">
        <v>8</v>
      </c>
      <c r="O13" s="4" t="s">
        <v>9</v>
      </c>
      <c r="P13" s="21" t="s">
        <v>10</v>
      </c>
    </row>
    <row r="14" spans="2:16" ht="50.25" customHeight="1" x14ac:dyDescent="0.25">
      <c r="B14" s="22" t="s">
        <v>23</v>
      </c>
      <c r="C14" s="6">
        <v>4</v>
      </c>
      <c r="D14" s="32">
        <v>1</v>
      </c>
      <c r="E14" s="32">
        <v>13</v>
      </c>
      <c r="F14" s="32">
        <v>8</v>
      </c>
      <c r="G14" s="32">
        <f>D14*E14*F14</f>
        <v>104</v>
      </c>
      <c r="H14" s="35">
        <f>SUM(C14:C17)</f>
        <v>15</v>
      </c>
      <c r="J14" s="28" t="s">
        <v>24</v>
      </c>
      <c r="K14" s="6">
        <v>6</v>
      </c>
      <c r="L14" s="32">
        <v>1</v>
      </c>
      <c r="M14" s="32">
        <v>20</v>
      </c>
      <c r="N14" s="32">
        <v>8.5</v>
      </c>
      <c r="O14" s="32">
        <f>L14*M14*N14</f>
        <v>170</v>
      </c>
      <c r="P14" s="35">
        <f>SUM(K14:K17)</f>
        <v>22</v>
      </c>
    </row>
    <row r="15" spans="2:16" ht="44.25" customHeight="1" x14ac:dyDescent="0.25">
      <c r="B15" s="22" t="s">
        <v>25</v>
      </c>
      <c r="C15" s="6">
        <v>3</v>
      </c>
      <c r="D15" s="33"/>
      <c r="E15" s="33"/>
      <c r="F15" s="33"/>
      <c r="G15" s="33"/>
      <c r="H15" s="36"/>
      <c r="J15" s="28" t="s">
        <v>26</v>
      </c>
      <c r="K15" s="6">
        <v>6</v>
      </c>
      <c r="L15" s="33"/>
      <c r="M15" s="33"/>
      <c r="N15" s="33"/>
      <c r="O15" s="33"/>
      <c r="P15" s="36"/>
    </row>
    <row r="16" spans="2:16" ht="36.75" customHeight="1" x14ac:dyDescent="0.25">
      <c r="B16" s="22" t="s">
        <v>27</v>
      </c>
      <c r="C16" s="6">
        <v>3</v>
      </c>
      <c r="D16" s="33"/>
      <c r="E16" s="33"/>
      <c r="F16" s="33"/>
      <c r="G16" s="33"/>
      <c r="H16" s="36"/>
      <c r="J16" s="22" t="s">
        <v>28</v>
      </c>
      <c r="K16" s="6">
        <v>5</v>
      </c>
      <c r="L16" s="33"/>
      <c r="M16" s="33"/>
      <c r="N16" s="33"/>
      <c r="O16" s="33"/>
      <c r="P16" s="36"/>
    </row>
    <row r="17" spans="2:16" ht="43.5" customHeight="1" thickBot="1" x14ac:dyDescent="0.3">
      <c r="B17" s="23" t="s">
        <v>29</v>
      </c>
      <c r="C17" s="17">
        <v>5</v>
      </c>
      <c r="D17" s="34"/>
      <c r="E17" s="34"/>
      <c r="F17" s="34"/>
      <c r="G17" s="34"/>
      <c r="H17" s="37"/>
      <c r="J17" s="29" t="s">
        <v>30</v>
      </c>
      <c r="K17" s="17">
        <v>5</v>
      </c>
      <c r="L17" s="34"/>
      <c r="M17" s="34"/>
      <c r="N17" s="34"/>
      <c r="O17" s="34"/>
      <c r="P17" s="37"/>
    </row>
    <row r="18" spans="2:16" ht="34.5" customHeight="1" thickBot="1" x14ac:dyDescent="0.3"/>
    <row r="19" spans="2:16" ht="65.25" customHeight="1" x14ac:dyDescent="0.25">
      <c r="B19" s="18" t="s">
        <v>31</v>
      </c>
      <c r="C19" s="38" t="s">
        <v>32</v>
      </c>
      <c r="D19" s="39"/>
      <c r="E19" s="39"/>
      <c r="F19" s="39"/>
      <c r="G19" s="39"/>
      <c r="H19" s="40"/>
      <c r="J19" s="18" t="s">
        <v>33</v>
      </c>
      <c r="K19" s="64" t="s">
        <v>34</v>
      </c>
      <c r="L19" s="66"/>
      <c r="M19" s="66"/>
      <c r="N19" s="66"/>
      <c r="O19" s="66"/>
      <c r="P19" s="67"/>
    </row>
    <row r="20" spans="2:16" ht="21.75" customHeight="1" x14ac:dyDescent="0.25">
      <c r="B20" s="24" t="s">
        <v>3</v>
      </c>
      <c r="C20" s="11">
        <v>2</v>
      </c>
      <c r="D20" s="25" t="str">
        <f>IF(C20&gt;4,"No viable","Viable")</f>
        <v>Viable</v>
      </c>
      <c r="E20" s="41" t="str">
        <f>CONCATENATE("Las semanas destinadas son: "&amp; C20)</f>
        <v>Las semanas destinadas son: 2</v>
      </c>
      <c r="F20" s="42"/>
      <c r="G20" s="42"/>
      <c r="H20" s="43"/>
      <c r="J20" s="26" t="s">
        <v>3</v>
      </c>
      <c r="K20" s="11">
        <v>3</v>
      </c>
      <c r="L20" s="12" t="str">
        <f>IF(K20&gt;4,"No viable","Viable")</f>
        <v>Viable</v>
      </c>
      <c r="M20" s="68" t="str">
        <f>CONCATENATE("Las semanas destinadas son: "&amp; K20)</f>
        <v>Las semanas destinadas son: 3</v>
      </c>
      <c r="N20" s="61"/>
      <c r="O20" s="61"/>
      <c r="P20" s="65"/>
    </row>
    <row r="21" spans="2:16" ht="32.25" customHeight="1" x14ac:dyDescent="0.25">
      <c r="B21" s="20" t="s">
        <v>4</v>
      </c>
      <c r="C21" s="4" t="s">
        <v>5</v>
      </c>
      <c r="D21" s="4" t="s">
        <v>6</v>
      </c>
      <c r="E21" s="4" t="s">
        <v>7</v>
      </c>
      <c r="F21" s="4" t="s">
        <v>22</v>
      </c>
      <c r="G21" s="4" t="s">
        <v>9</v>
      </c>
      <c r="H21" s="21" t="s">
        <v>10</v>
      </c>
      <c r="J21" s="27" t="s">
        <v>4</v>
      </c>
      <c r="K21" s="3" t="s">
        <v>5</v>
      </c>
      <c r="L21" s="3" t="s">
        <v>6</v>
      </c>
      <c r="M21" s="4" t="s">
        <v>7</v>
      </c>
      <c r="N21" s="3" t="s">
        <v>8</v>
      </c>
      <c r="O21" s="4" t="s">
        <v>9</v>
      </c>
      <c r="P21" s="21" t="s">
        <v>10</v>
      </c>
    </row>
    <row r="22" spans="2:16" ht="42.75" customHeight="1" x14ac:dyDescent="0.25">
      <c r="B22" s="22" t="s">
        <v>35</v>
      </c>
      <c r="C22" s="6">
        <v>3</v>
      </c>
      <c r="D22" s="32">
        <v>1</v>
      </c>
      <c r="E22" s="32">
        <v>10</v>
      </c>
      <c r="F22" s="32">
        <v>6</v>
      </c>
      <c r="G22" s="32">
        <f>D22*E22*F22</f>
        <v>60</v>
      </c>
      <c r="H22" s="35">
        <f>SUM(C22:C25)</f>
        <v>13</v>
      </c>
      <c r="J22" s="28" t="s">
        <v>36</v>
      </c>
      <c r="K22" s="6">
        <v>5</v>
      </c>
      <c r="L22" s="32">
        <v>2</v>
      </c>
      <c r="M22" s="32">
        <v>10</v>
      </c>
      <c r="N22" s="32">
        <v>5</v>
      </c>
      <c r="O22" s="32">
        <f>L22*M22*N22</f>
        <v>100</v>
      </c>
      <c r="P22" s="35">
        <f>SUM(K22:K25)</f>
        <v>16</v>
      </c>
    </row>
    <row r="23" spans="2:16" ht="35.25" customHeight="1" x14ac:dyDescent="0.25">
      <c r="B23" s="22" t="s">
        <v>37</v>
      </c>
      <c r="C23" s="6">
        <v>3</v>
      </c>
      <c r="D23" s="33"/>
      <c r="E23" s="33"/>
      <c r="F23" s="33"/>
      <c r="G23" s="33"/>
      <c r="H23" s="36"/>
      <c r="J23" s="28" t="s">
        <v>38</v>
      </c>
      <c r="K23" s="6">
        <v>4</v>
      </c>
      <c r="L23" s="33"/>
      <c r="M23" s="33"/>
      <c r="N23" s="33"/>
      <c r="O23" s="33"/>
      <c r="P23" s="36"/>
    </row>
    <row r="24" spans="2:16" ht="32.25" customHeight="1" x14ac:dyDescent="0.25">
      <c r="B24" s="22" t="s">
        <v>39</v>
      </c>
      <c r="C24" s="6">
        <v>4</v>
      </c>
      <c r="D24" s="33"/>
      <c r="E24" s="33"/>
      <c r="F24" s="33"/>
      <c r="G24" s="33"/>
      <c r="H24" s="36"/>
      <c r="J24" s="28" t="s">
        <v>40</v>
      </c>
      <c r="K24" s="6">
        <v>3</v>
      </c>
      <c r="L24" s="33"/>
      <c r="M24" s="33"/>
      <c r="N24" s="33"/>
      <c r="O24" s="33"/>
      <c r="P24" s="36"/>
    </row>
    <row r="25" spans="2:16" ht="42" customHeight="1" thickBot="1" x14ac:dyDescent="0.3">
      <c r="B25" s="23" t="s">
        <v>41</v>
      </c>
      <c r="C25" s="17">
        <v>3</v>
      </c>
      <c r="D25" s="34"/>
      <c r="E25" s="34"/>
      <c r="F25" s="34"/>
      <c r="G25" s="34"/>
      <c r="H25" s="37"/>
      <c r="J25" s="29" t="s">
        <v>42</v>
      </c>
      <c r="K25" s="17">
        <v>4</v>
      </c>
      <c r="L25" s="34"/>
      <c r="M25" s="34"/>
      <c r="N25" s="34"/>
      <c r="O25" s="34"/>
      <c r="P25" s="37"/>
    </row>
    <row r="26" spans="2:16" ht="27.75" customHeight="1" thickBot="1" x14ac:dyDescent="0.3"/>
    <row r="27" spans="2:16" s="15" customFormat="1" ht="32.25" customHeight="1" x14ac:dyDescent="0.25">
      <c r="B27" s="18" t="s">
        <v>43</v>
      </c>
      <c r="C27" s="53" t="s">
        <v>44</v>
      </c>
      <c r="D27" s="54"/>
      <c r="E27" s="54"/>
      <c r="F27" s="54"/>
      <c r="G27" s="54"/>
      <c r="H27" s="55"/>
      <c r="J27" s="11" t="s">
        <v>45</v>
      </c>
      <c r="K27" s="57" t="s">
        <v>46</v>
      </c>
      <c r="L27" s="58"/>
      <c r="M27" s="58"/>
      <c r="N27" s="58"/>
      <c r="O27" s="58"/>
      <c r="P27" s="59"/>
    </row>
    <row r="28" spans="2:16" ht="15.75" customHeight="1" x14ac:dyDescent="0.3">
      <c r="B28" s="19" t="s">
        <v>3</v>
      </c>
      <c r="C28" s="1">
        <v>3</v>
      </c>
      <c r="D28" s="9" t="str">
        <f>IF(C28&gt;4,"No viable","Viable")</f>
        <v>Viable</v>
      </c>
      <c r="E28" s="47" t="str">
        <f>CONCATENATE("Las semanas destinadas son: "&amp; C28)</f>
        <v>Las semanas destinadas son: 3</v>
      </c>
      <c r="F28" s="48"/>
      <c r="G28" s="48"/>
      <c r="H28" s="56"/>
      <c r="J28" s="2" t="s">
        <v>3</v>
      </c>
      <c r="K28" s="1">
        <v>3</v>
      </c>
      <c r="L28" s="2" t="str">
        <f>IF(K28&gt;4,"No viable","Viable")</f>
        <v>Viable</v>
      </c>
      <c r="M28" s="60" t="str">
        <f>CONCATENATE("Las semanas destinadas son: "&amp; K28)</f>
        <v>Las semanas destinadas son: 3</v>
      </c>
      <c r="N28" s="61"/>
      <c r="O28" s="61"/>
      <c r="P28" s="62"/>
    </row>
    <row r="29" spans="2:16" ht="39" customHeight="1" x14ac:dyDescent="0.25">
      <c r="B29" s="20" t="s">
        <v>4</v>
      </c>
      <c r="C29" s="4" t="s">
        <v>5</v>
      </c>
      <c r="D29" s="4" t="s">
        <v>6</v>
      </c>
      <c r="E29" s="4" t="s">
        <v>7</v>
      </c>
      <c r="F29" s="4" t="s">
        <v>22</v>
      </c>
      <c r="G29" s="4" t="s">
        <v>9</v>
      </c>
      <c r="H29" s="21" t="s">
        <v>10</v>
      </c>
      <c r="J29" s="3" t="s">
        <v>4</v>
      </c>
      <c r="K29" s="3" t="s">
        <v>5</v>
      </c>
      <c r="L29" s="3" t="s">
        <v>6</v>
      </c>
      <c r="M29" s="4" t="s">
        <v>7</v>
      </c>
      <c r="N29" s="3" t="s">
        <v>8</v>
      </c>
      <c r="O29" s="4" t="s">
        <v>9</v>
      </c>
      <c r="P29" s="4" t="s">
        <v>10</v>
      </c>
    </row>
    <row r="30" spans="2:16" ht="34.5" customHeight="1" x14ac:dyDescent="0.25">
      <c r="B30" s="22" t="s">
        <v>47</v>
      </c>
      <c r="C30" s="6">
        <v>3</v>
      </c>
      <c r="D30" s="32">
        <v>2</v>
      </c>
      <c r="E30" s="32">
        <v>12</v>
      </c>
      <c r="F30" s="32">
        <v>6</v>
      </c>
      <c r="G30" s="32">
        <f>D30*E30*F30</f>
        <v>144</v>
      </c>
      <c r="H30" s="35">
        <f>SUM(C30:C34)</f>
        <v>19</v>
      </c>
      <c r="J30" s="5" t="s">
        <v>48</v>
      </c>
      <c r="K30" s="6">
        <v>5</v>
      </c>
      <c r="L30" s="32">
        <v>1</v>
      </c>
      <c r="M30" s="32">
        <v>12</v>
      </c>
      <c r="N30" s="32">
        <v>8</v>
      </c>
      <c r="O30" s="32">
        <f>L30*M30*N30</f>
        <v>96</v>
      </c>
      <c r="P30" s="32">
        <f>SUM(K30:K34)</f>
        <v>20</v>
      </c>
    </row>
    <row r="31" spans="2:16" ht="34.5" customHeight="1" x14ac:dyDescent="0.25">
      <c r="B31" s="22" t="s">
        <v>49</v>
      </c>
      <c r="C31" s="6">
        <v>3</v>
      </c>
      <c r="D31" s="33"/>
      <c r="E31" s="33"/>
      <c r="F31" s="33"/>
      <c r="G31" s="33"/>
      <c r="H31" s="36"/>
      <c r="J31" s="5" t="s">
        <v>50</v>
      </c>
      <c r="K31" s="6">
        <v>4</v>
      </c>
      <c r="L31" s="33"/>
      <c r="M31" s="33"/>
      <c r="N31" s="33"/>
      <c r="O31" s="33"/>
      <c r="P31" s="33"/>
    </row>
    <row r="32" spans="2:16" ht="34.5" customHeight="1" x14ac:dyDescent="0.25">
      <c r="B32" s="22" t="s">
        <v>51</v>
      </c>
      <c r="C32" s="6">
        <v>5</v>
      </c>
      <c r="D32" s="33"/>
      <c r="E32" s="33"/>
      <c r="F32" s="33"/>
      <c r="G32" s="33"/>
      <c r="H32" s="36"/>
      <c r="J32" s="5" t="s">
        <v>52</v>
      </c>
      <c r="K32" s="6">
        <v>3</v>
      </c>
      <c r="L32" s="33"/>
      <c r="M32" s="33"/>
      <c r="N32" s="33"/>
      <c r="O32" s="33"/>
      <c r="P32" s="33"/>
    </row>
    <row r="33" spans="2:16" ht="34.5" customHeight="1" x14ac:dyDescent="0.25">
      <c r="B33" s="22" t="s">
        <v>53</v>
      </c>
      <c r="C33" s="7">
        <v>4</v>
      </c>
      <c r="D33" s="33"/>
      <c r="E33" s="33"/>
      <c r="F33" s="33"/>
      <c r="G33" s="33"/>
      <c r="H33" s="36"/>
      <c r="J33" s="5" t="s">
        <v>54</v>
      </c>
      <c r="K33" s="6">
        <v>4</v>
      </c>
      <c r="L33" s="33"/>
      <c r="M33" s="33"/>
      <c r="N33" s="33"/>
      <c r="O33" s="33"/>
      <c r="P33" s="33"/>
    </row>
    <row r="34" spans="2:16" ht="34.5" customHeight="1" thickBot="1" x14ac:dyDescent="0.3">
      <c r="B34" s="23" t="s">
        <v>55</v>
      </c>
      <c r="C34" s="17">
        <v>4</v>
      </c>
      <c r="D34" s="34"/>
      <c r="E34" s="34"/>
      <c r="F34" s="34"/>
      <c r="G34" s="34"/>
      <c r="H34" s="37"/>
      <c r="J34" s="5" t="s">
        <v>56</v>
      </c>
      <c r="K34" s="6">
        <v>4</v>
      </c>
      <c r="L34" s="63"/>
      <c r="M34" s="63"/>
      <c r="N34" s="63"/>
      <c r="O34" s="63"/>
      <c r="P34" s="33"/>
    </row>
    <row r="35" spans="2:16" ht="39" customHeight="1" thickBot="1" x14ac:dyDescent="0.3"/>
    <row r="36" spans="2:16" s="15" customFormat="1" ht="39" customHeight="1" x14ac:dyDescent="0.25">
      <c r="B36" s="14" t="s">
        <v>57</v>
      </c>
      <c r="C36" s="44" t="s">
        <v>58</v>
      </c>
      <c r="D36" s="45"/>
      <c r="E36" s="45"/>
      <c r="F36" s="45"/>
      <c r="G36" s="45"/>
      <c r="H36" s="46"/>
      <c r="J36" s="11" t="s">
        <v>59</v>
      </c>
      <c r="K36" s="57" t="s">
        <v>85</v>
      </c>
      <c r="L36" s="58"/>
      <c r="M36" s="58"/>
      <c r="N36" s="58"/>
      <c r="O36" s="58"/>
      <c r="P36" s="59"/>
    </row>
    <row r="37" spans="2:16" ht="15.75" customHeight="1" x14ac:dyDescent="0.3">
      <c r="B37" s="8" t="s">
        <v>3</v>
      </c>
      <c r="C37" s="1">
        <v>4</v>
      </c>
      <c r="D37" s="9" t="str">
        <f>IF(C37&gt;4,"No viable","Viable")</f>
        <v>Viable</v>
      </c>
      <c r="E37" s="47" t="str">
        <f>CONCATENATE("Las semanas destinadas son: "&amp; C37)</f>
        <v>Las semanas destinadas son: 4</v>
      </c>
      <c r="F37" s="48"/>
      <c r="G37" s="48"/>
      <c r="H37" s="49"/>
      <c r="J37" s="2" t="s">
        <v>3</v>
      </c>
      <c r="K37" s="1">
        <v>4</v>
      </c>
      <c r="L37" s="2" t="str">
        <f>IF(K37&gt;4,"No viable","Viable")</f>
        <v>Viable</v>
      </c>
      <c r="M37" s="60" t="str">
        <f>CONCATENATE("Las semanas destinadas son: "&amp; K37)</f>
        <v>Las semanas destinadas son: 4</v>
      </c>
      <c r="N37" s="61"/>
      <c r="O37" s="61"/>
      <c r="P37" s="62"/>
    </row>
    <row r="38" spans="2:16" ht="39.75" customHeight="1" x14ac:dyDescent="0.25">
      <c r="B38" s="4" t="s">
        <v>4</v>
      </c>
      <c r="C38" s="4" t="s">
        <v>5</v>
      </c>
      <c r="D38" s="4" t="s">
        <v>6</v>
      </c>
      <c r="E38" s="4" t="s">
        <v>7</v>
      </c>
      <c r="F38" s="4" t="s">
        <v>22</v>
      </c>
      <c r="G38" s="4" t="s">
        <v>9</v>
      </c>
      <c r="H38" s="4" t="s">
        <v>10</v>
      </c>
      <c r="J38" s="3" t="s">
        <v>4</v>
      </c>
      <c r="K38" s="3" t="s">
        <v>5</v>
      </c>
      <c r="L38" s="3" t="s">
        <v>6</v>
      </c>
      <c r="M38" s="4" t="s">
        <v>7</v>
      </c>
      <c r="N38" s="3" t="s">
        <v>8</v>
      </c>
      <c r="O38" s="4" t="s">
        <v>9</v>
      </c>
      <c r="P38" s="4" t="s">
        <v>10</v>
      </c>
    </row>
    <row r="39" spans="2:16" ht="39" customHeight="1" x14ac:dyDescent="0.25">
      <c r="B39" s="10" t="s">
        <v>60</v>
      </c>
      <c r="C39" s="6">
        <v>4</v>
      </c>
      <c r="D39" s="32">
        <v>1</v>
      </c>
      <c r="E39" s="32">
        <v>18</v>
      </c>
      <c r="F39" s="32">
        <v>8</v>
      </c>
      <c r="G39" s="32">
        <f>D39*E39*F39</f>
        <v>144</v>
      </c>
      <c r="H39" s="50">
        <f>SUM(C39:C43)</f>
        <v>22</v>
      </c>
      <c r="J39" s="5" t="s">
        <v>61</v>
      </c>
      <c r="K39" s="6">
        <v>5</v>
      </c>
      <c r="L39" s="32">
        <v>2</v>
      </c>
      <c r="M39" s="32">
        <v>20</v>
      </c>
      <c r="N39" s="32">
        <v>6</v>
      </c>
      <c r="O39" s="32">
        <f>L39*M39*N39</f>
        <v>240</v>
      </c>
      <c r="P39" s="32">
        <f>SUM(K39:K44)</f>
        <v>25</v>
      </c>
    </row>
    <row r="40" spans="2:16" ht="39" customHeight="1" x14ac:dyDescent="0.25">
      <c r="B40" s="10" t="s">
        <v>62</v>
      </c>
      <c r="C40" s="6">
        <v>4</v>
      </c>
      <c r="D40" s="33"/>
      <c r="E40" s="33"/>
      <c r="F40" s="33"/>
      <c r="G40" s="33"/>
      <c r="H40" s="51"/>
      <c r="J40" s="5" t="s">
        <v>63</v>
      </c>
      <c r="K40" s="6">
        <v>5</v>
      </c>
      <c r="L40" s="33"/>
      <c r="M40" s="33"/>
      <c r="N40" s="33"/>
      <c r="O40" s="33"/>
      <c r="P40" s="33"/>
    </row>
    <row r="41" spans="2:16" ht="39" customHeight="1" x14ac:dyDescent="0.25">
      <c r="B41" s="10" t="s">
        <v>64</v>
      </c>
      <c r="C41" s="6">
        <v>4</v>
      </c>
      <c r="D41" s="33"/>
      <c r="E41" s="33"/>
      <c r="F41" s="33"/>
      <c r="G41" s="33"/>
      <c r="H41" s="51"/>
      <c r="J41" s="5" t="s">
        <v>65</v>
      </c>
      <c r="K41" s="6">
        <v>5</v>
      </c>
      <c r="L41" s="33"/>
      <c r="M41" s="33"/>
      <c r="N41" s="33"/>
      <c r="O41" s="33"/>
      <c r="P41" s="33"/>
    </row>
    <row r="42" spans="2:16" ht="39" customHeight="1" x14ac:dyDescent="0.25">
      <c r="B42" s="10" t="s">
        <v>66</v>
      </c>
      <c r="C42" s="7">
        <v>4</v>
      </c>
      <c r="D42" s="33"/>
      <c r="E42" s="33"/>
      <c r="F42" s="33"/>
      <c r="G42" s="33"/>
      <c r="H42" s="51"/>
      <c r="J42" s="5" t="s">
        <v>67</v>
      </c>
      <c r="K42" s="6">
        <v>3</v>
      </c>
      <c r="L42" s="33"/>
      <c r="M42" s="33"/>
      <c r="N42" s="33"/>
      <c r="O42" s="33"/>
      <c r="P42" s="33"/>
    </row>
    <row r="43" spans="2:16" ht="39" customHeight="1" thickBot="1" x14ac:dyDescent="0.3">
      <c r="B43" s="16" t="s">
        <v>68</v>
      </c>
      <c r="C43" s="17">
        <v>6</v>
      </c>
      <c r="D43" s="34"/>
      <c r="E43" s="34"/>
      <c r="F43" s="34"/>
      <c r="G43" s="34"/>
      <c r="H43" s="52"/>
      <c r="J43" s="5" t="s">
        <v>69</v>
      </c>
      <c r="K43" s="6">
        <v>4</v>
      </c>
      <c r="L43" s="33"/>
      <c r="M43" s="33"/>
      <c r="N43" s="33"/>
      <c r="O43" s="33"/>
      <c r="P43" s="33"/>
    </row>
    <row r="44" spans="2:16" ht="30" customHeight="1" x14ac:dyDescent="0.25">
      <c r="J44" s="5" t="s">
        <v>70</v>
      </c>
      <c r="K44" s="6">
        <v>3</v>
      </c>
      <c r="L44" s="63"/>
      <c r="M44" s="63"/>
      <c r="N44" s="63"/>
      <c r="O44" s="63"/>
      <c r="P44" s="33"/>
    </row>
    <row r="45" spans="2:16" s="13" customFormat="1" ht="15.75" customHeight="1" thickBot="1" x14ac:dyDescent="0.3"/>
    <row r="46" spans="2:16" ht="15.75" customHeight="1" x14ac:dyDescent="0.25"/>
    <row r="47" spans="2:16" ht="15.75" customHeight="1" x14ac:dyDescent="0.25"/>
    <row r="48" spans="2:16" ht="15.75" customHeight="1" thickBot="1" x14ac:dyDescent="0.3"/>
    <row r="49" spans="2:16" s="15" customFormat="1" ht="37.5" customHeight="1" x14ac:dyDescent="0.25">
      <c r="B49" s="18" t="s">
        <v>73</v>
      </c>
      <c r="C49" s="53" t="s">
        <v>74</v>
      </c>
      <c r="D49" s="54"/>
      <c r="E49" s="54"/>
      <c r="F49" s="54"/>
      <c r="G49" s="54"/>
      <c r="H49" s="55"/>
      <c r="J49" s="18" t="s">
        <v>79</v>
      </c>
      <c r="K49" s="53" t="s">
        <v>80</v>
      </c>
      <c r="L49" s="54"/>
      <c r="M49" s="54"/>
      <c r="N49" s="54"/>
      <c r="O49" s="54"/>
      <c r="P49" s="55"/>
    </row>
    <row r="50" spans="2:16" ht="24" customHeight="1" x14ac:dyDescent="0.3">
      <c r="B50" s="19" t="s">
        <v>3</v>
      </c>
      <c r="C50" s="1">
        <v>2</v>
      </c>
      <c r="D50" s="9" t="str">
        <f>IF(C50&gt;4,"No viable","Viable")</f>
        <v>Viable</v>
      </c>
      <c r="E50" s="47" t="str">
        <f>CONCATENATE("Las semanas destinadas son: "&amp; C50)</f>
        <v>Las semanas destinadas son: 2</v>
      </c>
      <c r="F50" s="48"/>
      <c r="G50" s="48"/>
      <c r="H50" s="56"/>
      <c r="J50" s="19" t="s">
        <v>3</v>
      </c>
      <c r="K50" s="1">
        <v>2</v>
      </c>
      <c r="L50" s="9" t="str">
        <f>IF(K50&gt;4,"No viable","Viable")</f>
        <v>Viable</v>
      </c>
      <c r="M50" s="47" t="str">
        <f>CONCATENATE("Las semanas destinadas son: "&amp; K50)</f>
        <v>Las semanas destinadas son: 2</v>
      </c>
      <c r="N50" s="48"/>
      <c r="O50" s="48"/>
      <c r="P50" s="56"/>
    </row>
    <row r="51" spans="2:16" ht="35.25" customHeight="1" x14ac:dyDescent="0.25">
      <c r="B51" s="31" t="s">
        <v>4</v>
      </c>
      <c r="C51" s="4" t="s">
        <v>5</v>
      </c>
      <c r="D51" s="4" t="s">
        <v>6</v>
      </c>
      <c r="E51" s="4" t="s">
        <v>7</v>
      </c>
      <c r="F51" s="4" t="s">
        <v>22</v>
      </c>
      <c r="G51" s="4" t="s">
        <v>9</v>
      </c>
      <c r="H51" s="21" t="s">
        <v>10</v>
      </c>
      <c r="J51" s="20" t="s">
        <v>4</v>
      </c>
      <c r="K51" s="4" t="s">
        <v>5</v>
      </c>
      <c r="L51" s="4" t="s">
        <v>6</v>
      </c>
      <c r="M51" s="4" t="s">
        <v>7</v>
      </c>
      <c r="N51" s="4" t="s">
        <v>22</v>
      </c>
      <c r="O51" s="4" t="s">
        <v>9</v>
      </c>
      <c r="P51" s="21" t="s">
        <v>10</v>
      </c>
    </row>
    <row r="52" spans="2:16" ht="30.75" customHeight="1" x14ac:dyDescent="0.25">
      <c r="B52" s="22" t="s">
        <v>75</v>
      </c>
      <c r="C52" s="6">
        <v>5</v>
      </c>
      <c r="D52" s="32">
        <v>1</v>
      </c>
      <c r="E52" s="32">
        <v>12</v>
      </c>
      <c r="F52" s="32">
        <v>7.5</v>
      </c>
      <c r="G52" s="32">
        <f>D52*E52*F52</f>
        <v>90</v>
      </c>
      <c r="H52" s="35">
        <f>SUM(C52:C55)</f>
        <v>16</v>
      </c>
      <c r="J52" s="22" t="s">
        <v>81</v>
      </c>
      <c r="K52" s="6">
        <v>4</v>
      </c>
      <c r="L52" s="32">
        <v>1</v>
      </c>
      <c r="M52" s="32">
        <v>13</v>
      </c>
      <c r="N52" s="32">
        <v>5</v>
      </c>
      <c r="O52" s="32">
        <f>L52*M52*N52</f>
        <v>65</v>
      </c>
      <c r="P52" s="35">
        <f>SUM(K52:K55)</f>
        <v>13</v>
      </c>
    </row>
    <row r="53" spans="2:16" ht="30.75" customHeight="1" x14ac:dyDescent="0.25">
      <c r="B53" s="22" t="s">
        <v>76</v>
      </c>
      <c r="C53" s="6">
        <v>4</v>
      </c>
      <c r="D53" s="33"/>
      <c r="E53" s="33"/>
      <c r="F53" s="33"/>
      <c r="G53" s="33"/>
      <c r="H53" s="36"/>
      <c r="J53" s="22" t="s">
        <v>82</v>
      </c>
      <c r="K53" s="6">
        <v>4</v>
      </c>
      <c r="L53" s="33"/>
      <c r="M53" s="33"/>
      <c r="N53" s="33"/>
      <c r="O53" s="33"/>
      <c r="P53" s="36"/>
    </row>
    <row r="54" spans="2:16" ht="30.75" customHeight="1" x14ac:dyDescent="0.25">
      <c r="B54" s="22" t="s">
        <v>77</v>
      </c>
      <c r="C54" s="6">
        <v>4</v>
      </c>
      <c r="D54" s="33"/>
      <c r="E54" s="33"/>
      <c r="F54" s="33"/>
      <c r="G54" s="33"/>
      <c r="H54" s="36"/>
      <c r="J54" s="22" t="s">
        <v>83</v>
      </c>
      <c r="K54" s="6">
        <v>3</v>
      </c>
      <c r="L54" s="33"/>
      <c r="M54" s="33"/>
      <c r="N54" s="33"/>
      <c r="O54" s="33"/>
      <c r="P54" s="36"/>
    </row>
    <row r="55" spans="2:16" ht="30.75" customHeight="1" thickBot="1" x14ac:dyDescent="0.3">
      <c r="B55" s="23" t="s">
        <v>78</v>
      </c>
      <c r="C55" s="17">
        <v>3</v>
      </c>
      <c r="D55" s="34"/>
      <c r="E55" s="34"/>
      <c r="F55" s="34"/>
      <c r="G55" s="34"/>
      <c r="H55" s="37"/>
      <c r="J55" s="23" t="s">
        <v>84</v>
      </c>
      <c r="K55" s="17">
        <v>2</v>
      </c>
      <c r="L55" s="34"/>
      <c r="M55" s="34"/>
      <c r="N55" s="34"/>
      <c r="O55" s="34"/>
      <c r="P55" s="37"/>
    </row>
    <row r="56" spans="2:16" ht="15.75" customHeight="1" x14ac:dyDescent="0.25"/>
    <row r="57" spans="2:16" ht="15.75" customHeight="1" thickBot="1" x14ac:dyDescent="0.3"/>
    <row r="58" spans="2:16" ht="36" customHeight="1" x14ac:dyDescent="0.25">
      <c r="B58" s="18" t="s">
        <v>86</v>
      </c>
      <c r="C58" s="53" t="s">
        <v>87</v>
      </c>
      <c r="D58" s="54"/>
      <c r="E58" s="54"/>
      <c r="F58" s="54"/>
      <c r="G58" s="54"/>
      <c r="H58" s="55"/>
    </row>
    <row r="59" spans="2:16" ht="24" customHeight="1" x14ac:dyDescent="0.25">
      <c r="B59" s="24" t="s">
        <v>3</v>
      </c>
      <c r="C59" s="11">
        <v>1</v>
      </c>
      <c r="D59" s="25" t="str">
        <f>IF(C59&gt;4,"No viable","Viable")</f>
        <v>Viable</v>
      </c>
      <c r="E59" s="41" t="str">
        <f>CONCATENATE("Las semanas destinadas son: "&amp; C59)</f>
        <v>Las semanas destinadas son: 1</v>
      </c>
      <c r="F59" s="42"/>
      <c r="G59" s="42"/>
      <c r="H59" s="43"/>
    </row>
    <row r="60" spans="2:16" ht="33.75" customHeight="1" x14ac:dyDescent="0.25">
      <c r="B60" s="20" t="s">
        <v>4</v>
      </c>
      <c r="C60" s="4" t="s">
        <v>5</v>
      </c>
      <c r="D60" s="4" t="s">
        <v>6</v>
      </c>
      <c r="E60" s="4" t="s">
        <v>7</v>
      </c>
      <c r="F60" s="4" t="s">
        <v>22</v>
      </c>
      <c r="G60" s="4" t="s">
        <v>9</v>
      </c>
      <c r="H60" s="21" t="s">
        <v>10</v>
      </c>
    </row>
    <row r="61" spans="2:16" ht="34.5" customHeight="1" x14ac:dyDescent="0.25">
      <c r="B61" s="22" t="s">
        <v>88</v>
      </c>
      <c r="C61" s="6">
        <v>4</v>
      </c>
      <c r="D61" s="32">
        <v>1</v>
      </c>
      <c r="E61" s="32">
        <v>6</v>
      </c>
      <c r="F61" s="32">
        <v>6</v>
      </c>
      <c r="G61" s="32">
        <f>D61*E61*F61</f>
        <v>36</v>
      </c>
      <c r="H61" s="35">
        <f>SUM(C61:C62)</f>
        <v>7</v>
      </c>
    </row>
    <row r="62" spans="2:16" ht="34.5" customHeight="1" thickBot="1" x14ac:dyDescent="0.3">
      <c r="B62" s="23" t="s">
        <v>89</v>
      </c>
      <c r="C62" s="17">
        <v>3</v>
      </c>
      <c r="D62" s="34"/>
      <c r="E62" s="34"/>
      <c r="F62" s="34"/>
      <c r="G62" s="34"/>
      <c r="H62" s="37"/>
    </row>
    <row r="63" spans="2:16" ht="25.5" customHeight="1" x14ac:dyDescent="0.25"/>
    <row r="64" spans="2:16" ht="33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</sheetData>
  <mergeCells count="92">
    <mergeCell ref="C58:H58"/>
    <mergeCell ref="E59:H59"/>
    <mergeCell ref="D61:D62"/>
    <mergeCell ref="E61:E62"/>
    <mergeCell ref="F61:F62"/>
    <mergeCell ref="G61:G62"/>
    <mergeCell ref="H61:H62"/>
    <mergeCell ref="K49:P49"/>
    <mergeCell ref="M50:P50"/>
    <mergeCell ref="L52:L55"/>
    <mergeCell ref="M52:M55"/>
    <mergeCell ref="N52:N55"/>
    <mergeCell ref="O52:O55"/>
    <mergeCell ref="P52:P55"/>
    <mergeCell ref="C49:H49"/>
    <mergeCell ref="E50:H50"/>
    <mergeCell ref="D52:D55"/>
    <mergeCell ref="E52:E55"/>
    <mergeCell ref="F52:F55"/>
    <mergeCell ref="G52:G55"/>
    <mergeCell ref="H52:H55"/>
    <mergeCell ref="L39:L44"/>
    <mergeCell ref="M39:M44"/>
    <mergeCell ref="N39:N44"/>
    <mergeCell ref="O39:O44"/>
    <mergeCell ref="P39:P44"/>
    <mergeCell ref="L14:L17"/>
    <mergeCell ref="M14:M17"/>
    <mergeCell ref="N14:N17"/>
    <mergeCell ref="O14:O17"/>
    <mergeCell ref="P14:P17"/>
    <mergeCell ref="G1:K1"/>
    <mergeCell ref="C3:H3"/>
    <mergeCell ref="K3:P3"/>
    <mergeCell ref="E4:H4"/>
    <mergeCell ref="M4:P4"/>
    <mergeCell ref="K36:P36"/>
    <mergeCell ref="M37:P37"/>
    <mergeCell ref="H6:H9"/>
    <mergeCell ref="L6:L9"/>
    <mergeCell ref="O6:O9"/>
    <mergeCell ref="P6:P9"/>
    <mergeCell ref="C11:H11"/>
    <mergeCell ref="K11:P11"/>
    <mergeCell ref="E12:H12"/>
    <mergeCell ref="M12:P12"/>
    <mergeCell ref="D6:D9"/>
    <mergeCell ref="E6:E9"/>
    <mergeCell ref="K19:P19"/>
    <mergeCell ref="M20:P20"/>
    <mergeCell ref="M6:M9"/>
    <mergeCell ref="N6:N9"/>
    <mergeCell ref="K27:P27"/>
    <mergeCell ref="M28:P28"/>
    <mergeCell ref="L30:L34"/>
    <mergeCell ref="M30:M34"/>
    <mergeCell ref="N30:N34"/>
    <mergeCell ref="O30:O34"/>
    <mergeCell ref="P30:P34"/>
    <mergeCell ref="L22:L25"/>
    <mergeCell ref="M22:M25"/>
    <mergeCell ref="N22:N25"/>
    <mergeCell ref="O22:O25"/>
    <mergeCell ref="P22:P25"/>
    <mergeCell ref="C27:H27"/>
    <mergeCell ref="E28:H28"/>
    <mergeCell ref="D30:D34"/>
    <mergeCell ref="E30:E34"/>
    <mergeCell ref="F30:F34"/>
    <mergeCell ref="G30:G34"/>
    <mergeCell ref="H30:H34"/>
    <mergeCell ref="C36:H36"/>
    <mergeCell ref="E37:H37"/>
    <mergeCell ref="D39:D43"/>
    <mergeCell ref="E39:E43"/>
    <mergeCell ref="F39:F43"/>
    <mergeCell ref="G39:G43"/>
    <mergeCell ref="H39:H43"/>
    <mergeCell ref="H14:H17"/>
    <mergeCell ref="C19:H19"/>
    <mergeCell ref="E20:H20"/>
    <mergeCell ref="D22:D25"/>
    <mergeCell ref="E22:E25"/>
    <mergeCell ref="F22:F25"/>
    <mergeCell ref="G22:G25"/>
    <mergeCell ref="H22:H25"/>
    <mergeCell ref="F6:F9"/>
    <mergeCell ref="G6:G9"/>
    <mergeCell ref="D14:D17"/>
    <mergeCell ref="E14:E17"/>
    <mergeCell ref="F14:F17"/>
    <mergeCell ref="G14:G17"/>
  </mergeCells>
  <dataValidations count="1">
    <dataValidation type="decimal" operator="lessThanOrEqual" allowBlank="1" showDropDown="1" showErrorMessage="1" sqref="C4 K4 C12 K12 C20 K20 C28 K28 C37 K37 C50 K50 C59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Camilo's PC</dc:creator>
  <cp:lastModifiedBy>Sandra Patricia Ardila</cp:lastModifiedBy>
  <dcterms:created xsi:type="dcterms:W3CDTF">2026-05-04T16:39:58Z</dcterms:created>
  <dcterms:modified xsi:type="dcterms:W3CDTF">2026-06-29T17:09:31Z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2026-06-29T16:28:51Z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a4fa004a-bff0-41f8-b887-34819b6ccb76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